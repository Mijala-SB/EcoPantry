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VIC\(BIT 301)_IT Project Management\Excel FIles\"/>
    </mc:Choice>
  </mc:AlternateContent>
  <xr:revisionPtr revIDLastSave="0" documentId="13_ncr:1_{9FCCD207-F795-4360-9375-B3C4C9F18079}" xr6:coauthVersionLast="47" xr6:coauthVersionMax="47" xr10:uidLastSave="{00000000-0000-0000-0000-000000000000}"/>
  <bookViews>
    <workbookView xWindow="-108" yWindow="-108" windowWidth="23256" windowHeight="12456" activeTab="2" xr2:uid="{151C8DFF-D34E-46B5-935E-790C9F0A2CD3}"/>
  </bookViews>
  <sheets>
    <sheet name="Financial Analysis" sheetId="1" r:id="rId1"/>
    <sheet name="Cost Estimate" sheetId="2" r:id="rId2"/>
    <sheet name="Payback" sheetId="3" r:id="rId3"/>
  </sheets>
  <externalReferences>
    <externalReference r:id="rId4"/>
    <externalReference r:id="rId5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1" l="1"/>
  <c r="AB20" i="2"/>
  <c r="AB21" i="2" s="1"/>
  <c r="AA20" i="2"/>
  <c r="AA21" i="2" s="1"/>
  <c r="Z20" i="2"/>
  <c r="Z21" i="2" s="1"/>
  <c r="Y20" i="2"/>
  <c r="Y21" i="2" s="1"/>
  <c r="X20" i="2"/>
  <c r="X21" i="2" s="1"/>
  <c r="W20" i="2"/>
  <c r="W21" i="2" s="1"/>
  <c r="V20" i="2"/>
  <c r="V21" i="2" s="1"/>
  <c r="U20" i="2"/>
  <c r="U21" i="2" s="1"/>
  <c r="T20" i="2"/>
  <c r="T21" i="2" s="1"/>
  <c r="S20" i="2"/>
  <c r="S21" i="2" s="1"/>
  <c r="R20" i="2"/>
  <c r="R21" i="2" s="1"/>
  <c r="Q20" i="2"/>
  <c r="Q21" i="2" s="1"/>
  <c r="P20" i="2"/>
  <c r="P21" i="2" s="1"/>
  <c r="O20" i="2"/>
  <c r="O21" i="2" s="1"/>
  <c r="AC19" i="2"/>
  <c r="AD19" i="2" s="1"/>
  <c r="AC18" i="2"/>
  <c r="AD18" i="2" s="1"/>
  <c r="AC17" i="2"/>
  <c r="AD17" i="2" s="1"/>
  <c r="AC16" i="2"/>
  <c r="AD16" i="2" s="1"/>
  <c r="AC15" i="2"/>
  <c r="AD15" i="2" s="1"/>
  <c r="AC14" i="2"/>
  <c r="AD14" i="2" s="1"/>
  <c r="AC13" i="2"/>
  <c r="AD13" i="2" s="1"/>
  <c r="AC12" i="2"/>
  <c r="AD12" i="2" s="1"/>
  <c r="AC11" i="2"/>
  <c r="AD11" i="2" s="1"/>
  <c r="AC10" i="2"/>
  <c r="AD10" i="2" s="1"/>
  <c r="AC9" i="2"/>
  <c r="AD9" i="2" s="1"/>
  <c r="AC8" i="2"/>
  <c r="AD8" i="2" s="1"/>
  <c r="I22" i="2"/>
  <c r="I24" i="2" s="1"/>
  <c r="E22" i="2"/>
  <c r="E24" i="2" s="1"/>
  <c r="B22" i="2"/>
  <c r="B24" i="2" s="1"/>
  <c r="G21" i="2"/>
  <c r="C21" i="2"/>
  <c r="D21" i="2" s="1"/>
  <c r="H21" i="2" s="1"/>
  <c r="J21" i="2" s="1"/>
  <c r="G20" i="2"/>
  <c r="C20" i="2"/>
  <c r="D20" i="2" s="1"/>
  <c r="H20" i="2" s="1"/>
  <c r="J20" i="2" s="1"/>
  <c r="G19" i="2"/>
  <c r="C19" i="2"/>
  <c r="D19" i="2" s="1"/>
  <c r="H19" i="2" s="1"/>
  <c r="J19" i="2" s="1"/>
  <c r="G18" i="2"/>
  <c r="C18" i="2"/>
  <c r="D18" i="2" s="1"/>
  <c r="H18" i="2" s="1"/>
  <c r="J18" i="2" s="1"/>
  <c r="G17" i="2"/>
  <c r="C17" i="2"/>
  <c r="D17" i="2" s="1"/>
  <c r="H17" i="2" s="1"/>
  <c r="J17" i="2" s="1"/>
  <c r="G16" i="2"/>
  <c r="C16" i="2"/>
  <c r="D16" i="2" s="1"/>
  <c r="H16" i="2" s="1"/>
  <c r="J16" i="2" s="1"/>
  <c r="G15" i="2"/>
  <c r="C15" i="2"/>
  <c r="D15" i="2" s="1"/>
  <c r="H15" i="2" s="1"/>
  <c r="J15" i="2" s="1"/>
  <c r="G14" i="2"/>
  <c r="C14" i="2"/>
  <c r="D14" i="2" s="1"/>
  <c r="G13" i="2"/>
  <c r="C13" i="2"/>
  <c r="D13" i="2" s="1"/>
  <c r="H13" i="2" s="1"/>
  <c r="J13" i="2" s="1"/>
  <c r="G12" i="2"/>
  <c r="C12" i="2"/>
  <c r="D12" i="2" s="1"/>
  <c r="H12" i="2" s="1"/>
  <c r="J12" i="2" s="1"/>
  <c r="G10" i="2"/>
  <c r="C10" i="2"/>
  <c r="D10" i="2" s="1"/>
  <c r="H10" i="2" s="1"/>
  <c r="J10" i="2" s="1"/>
  <c r="G9" i="2"/>
  <c r="C9" i="2"/>
  <c r="D9" i="2" s="1"/>
  <c r="E14" i="1"/>
  <c r="E15" i="1" s="1"/>
  <c r="E17" i="1" s="1"/>
  <c r="E11" i="1"/>
  <c r="D11" i="1"/>
  <c r="C11" i="1"/>
  <c r="B11" i="1"/>
  <c r="F11" i="1" s="1"/>
  <c r="E10" i="1"/>
  <c r="D10" i="1"/>
  <c r="D14" i="1" s="1"/>
  <c r="D15" i="1" s="1"/>
  <c r="D17" i="1" s="1"/>
  <c r="C10" i="1"/>
  <c r="C14" i="1" s="1"/>
  <c r="C15" i="1" s="1"/>
  <c r="C17" i="1" s="1"/>
  <c r="B10" i="1"/>
  <c r="B14" i="1" s="1"/>
  <c r="B15" i="1" s="1"/>
  <c r="G22" i="2" l="1"/>
  <c r="G24" i="2" s="1"/>
  <c r="H14" i="2"/>
  <c r="J14" i="2" s="1"/>
  <c r="AD20" i="2"/>
  <c r="AC20" i="2"/>
  <c r="D22" i="2"/>
  <c r="D24" i="2" s="1"/>
  <c r="H9" i="2"/>
  <c r="F15" i="1"/>
  <c r="B17" i="1"/>
  <c r="H22" i="2" l="1"/>
  <c r="H24" i="2" s="1"/>
  <c r="J9" i="2"/>
  <c r="J22" i="2" s="1"/>
  <c r="B18" i="1"/>
  <c r="C18" i="1" s="1"/>
  <c r="D18" i="1" s="1"/>
  <c r="E18" i="1" s="1"/>
  <c r="B20" i="1"/>
  <c r="J23" i="2" l="1"/>
  <c r="J24" i="2"/>
</calcChain>
</file>

<file path=xl/sharedStrings.xml><?xml version="1.0" encoding="utf-8"?>
<sst xmlns="http://schemas.openxmlformats.org/spreadsheetml/2006/main" count="115" uniqueCount="108">
  <si>
    <t>Financial Analysis for EcoPantry: Smart Inventory and Food Sharing application to Reduce Food Waste</t>
  </si>
  <si>
    <t>Created by:EcoPantry Team</t>
  </si>
  <si>
    <t>Date:</t>
  </si>
  <si>
    <t>Discount rate</t>
  </si>
  <si>
    <t>Assume the project is completed in Year 0</t>
  </si>
  <si>
    <t>Year</t>
  </si>
  <si>
    <t>Total</t>
  </si>
  <si>
    <t>Costs ($)</t>
  </si>
  <si>
    <t>Discount factor</t>
  </si>
  <si>
    <t>Discounted costs</t>
  </si>
  <si>
    <t>Benefits ($)</t>
  </si>
  <si>
    <t>Discounted benefits</t>
  </si>
  <si>
    <t>Discounted benefits - costs</t>
  </si>
  <si>
    <t>NPV</t>
  </si>
  <si>
    <t>Cumulative benefits - costs</t>
  </si>
  <si>
    <t>ROI</t>
  </si>
  <si>
    <t>Payback in Year 1 (approx. 0.74 of the way through Year 1, i.e. ~9 months after project completion)</t>
  </si>
  <si>
    <t>Assumptions</t>
  </si>
  <si>
    <t>1. Year 0 development cost of $18,480 is taken directly from the project Cost Estimate (Subtotal + 10% contingency reserve).</t>
  </si>
  <si>
    <t>2. Years 1-3 operating costs cover cloud hosting, database/API services, app maintenance, and customer support, estimated at $8,000 in Year 1 and growing 10% p.a. as the user base grows.</t>
  </si>
  <si>
    <t>3. Benefits comprise: (a) premium subscription revenue at $5/user/month, assuming 500 premium users in Year 1, 800 in Year 2, and 1,200 in Year 3; and (b) partnership/referral fees from grocery retailers and NGOs for donation-matching ($5,000 in Year 1, $8,000 in Year 2, $12,000 in Year 3).</t>
  </si>
  <si>
    <t>4. No revenue is generated in Year 0 as the app is still in development and has not launched.</t>
  </si>
  <si>
    <t>5. A discount rate of 8% is applied per the assignment brief, over a 3-year post-launch period (Years 1-3), in addition to Year 0 (development).</t>
  </si>
  <si>
    <t>6. All figures are in US Dollars (USD) and are estimates for planning purposes; actual results may vary with user adoption and market conditions.</t>
  </si>
  <si>
    <t>Cost Estimate</t>
  </si>
  <si>
    <t>Project Name: EcoPantry: Smart Inventory and Food Sharing application to Reduce Food Waste</t>
  </si>
  <si>
    <t>Assumed internal labour rate ($/hour):</t>
  </si>
  <si>
    <t>Contingency reserve (%):</t>
  </si>
  <si>
    <t>Internal Values</t>
  </si>
  <si>
    <t>$/hour</t>
  </si>
  <si>
    <t>Internal $Total</t>
  </si>
  <si>
    <t>External Labor</t>
  </si>
  <si>
    <t>External $Total</t>
  </si>
  <si>
    <t>Total Labor</t>
  </si>
  <si>
    <t>Non-labor $</t>
  </si>
  <si>
    <t>Total Cost</t>
  </si>
  <si>
    <t>WBS Categories</t>
  </si>
  <si>
    <t>1. Initiating</t>
  </si>
  <si>
    <t>2. Planning</t>
  </si>
  <si>
    <t>3. Executing</t>
  </si>
  <si>
    <t xml:space="preserve">   3.1 Requirements Gathering &amp; Analysis</t>
  </si>
  <si>
    <t xml:space="preserve">   3.2 System &amp; UI/UX Design</t>
  </si>
  <si>
    <t xml:space="preserve">   3.3 Database Design &amp; Setup</t>
  </si>
  <si>
    <t xml:space="preserve">   3.4 Front-End Development</t>
  </si>
  <si>
    <t xml:space="preserve">   3.5 Back-End Development &amp; API Integration</t>
  </si>
  <si>
    <t xml:space="preserve">   3.6 System Integration</t>
  </si>
  <si>
    <t xml:space="preserve">   3.7 Testing &amp; Quality Assurance</t>
  </si>
  <si>
    <t xml:space="preserve">   3.8 Deployment &amp; Launch Preparation</t>
  </si>
  <si>
    <t>4. Monitoring and Controlling</t>
  </si>
  <si>
    <t>5. Closing</t>
  </si>
  <si>
    <t>Subtotal</t>
  </si>
  <si>
    <t>Reserves (contingency)</t>
  </si>
  <si>
    <t>1. Team of 3 members (Project Manager, Full-Stack Developer, UI/UX Designer &amp; QA Tester) working part-time (approx. 10-15 hrs/week each) over 14 weeks.</t>
  </si>
  <si>
    <t>2. A single blended internal labour rate of $20/hour is used across all team members and WBS categories (average of PM/Developer/Designer market rates for student/junior IT professionals).</t>
  </si>
  <si>
    <t>3. No external/outsourced labour is used; all work is completed in-house by the project team.</t>
  </si>
  <si>
    <t>4. Non-labour costs cover: front-end tooling &amp; design software licences ($400), cloud hosting/database/API services ($800), app store, domain &amp; deployment costs ($600), and printing/presentation costs for closing ($200).</t>
  </si>
  <si>
    <t>5. A 10% contingency reserve is applied to the subtotal to account for scope changes, rework, and estimation uncertainty.</t>
  </si>
  <si>
    <t>6. Total cost estimate feeds directly into the Business Case Financial Analysis (Year 0 development cost) and the Project Charter budget.</t>
  </si>
  <si>
    <t>Formulae used:</t>
  </si>
  <si>
    <t>Discount factor (Year n) = 1 / (1 + discount rate)^n</t>
  </si>
  <si>
    <t>Discounted Cost (Year n) = Raw Cost (Year n) × Discount Factor (Year n)</t>
  </si>
  <si>
    <t>Discounted Benefit (Year n) = Raw Benefit (Year n) × Discount Factor (Year n)</t>
  </si>
  <si>
    <t>Net (Year n) = Discounted Benefit (n) − Discounted Cost (n)</t>
  </si>
  <si>
    <t>NPV = Σ (Discounted Benefits − Discounted Costs), Years 0–3
    = −18,480 + 25,000 + 40,466 + 58,998 = $105,984</t>
  </si>
  <si>
    <t>ROI = NPV / Total Discounted Costs
    = 105,984 / 41,116 = 2.578 → 257.8%</t>
  </si>
  <si>
    <t>Cumulative (Year n) = Cumulative (Year n−1) + Net (Year n)</t>
  </si>
  <si>
    <t>Payback = Year of crossover + (|cumulative at start of that year| / net cash flow that year)</t>
  </si>
  <si>
    <t xml:space="preserve">        = 0 + (18,480 / 25,000) = 0.74</t>
  </si>
  <si>
    <t>WBS Activity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</si>
  <si>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</si>
  <si>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</si>
  <si>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</si>
  <si>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</si>
  <si>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</si>
  <si>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</si>
  <si>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</si>
  <si>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</si>
  <si>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</si>
  <si>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</si>
  <si>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</si>
  <si>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</si>
  <si>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Wk13</t>
  </si>
  <si>
    <t>Wk14</t>
  </si>
  <si>
    <t>Total Hrs</t>
  </si>
  <si>
    <t>Cost ($)</t>
  </si>
  <si>
    <t>1. Initiating (Business Case, Three-Sphere Model, Charter)</t>
  </si>
  <si>
    <t>2. Planning (Scope, WBS, Work Items, Cost Estimate, Mgmt Plans)</t>
  </si>
  <si>
    <t>3.1 Requirements Gathering &amp; Analysis</t>
  </si>
  <si>
    <t>3.2 System &amp; UI/UX Design</t>
  </si>
  <si>
    <t>3.3 Database Design &amp; Setup</t>
  </si>
  <si>
    <t>3.4 Front-End Development</t>
  </si>
  <si>
    <t>3.5 Back-End Development &amp; API Integration</t>
  </si>
  <si>
    <t>3.6 System Integration</t>
  </si>
  <si>
    <t>3.7 Testing &amp; Quality Assurance</t>
  </si>
  <si>
    <t>3.8 Deployment &amp; Launch Preparation</t>
  </si>
  <si>
    <t>4. Monitoring &amp; Controlling (PM tracking, status reports)</t>
  </si>
  <si>
    <t>5. Closing (Final Report, Presentation, Lessons Learned)</t>
  </si>
  <si>
    <t>Total Hours / Week</t>
  </si>
  <si>
    <t>Cost / Week ($)</t>
  </si>
  <si>
    <t>Weekly Cost Breakdown</t>
  </si>
  <si>
    <t>Note: Discounted costs and benefits below are taken from the Financial Analysis (Business Case).</t>
  </si>
  <si>
    <t>Years 0-3 = project development year plus three post-launch years. Discount rate: 8%.</t>
  </si>
  <si>
    <t>Costs</t>
  </si>
  <si>
    <t>Benefits</t>
  </si>
  <si>
    <t>Cum Costs</t>
  </si>
  <si>
    <t>Cum Benefits</t>
  </si>
  <si>
    <t>Created by: EcoPantry Team</t>
  </si>
  <si>
    <t>Payback Period Chart for EcoPantry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</si>
</sst>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"/>
    <numFmt numFmtId="165" formatCode="0.0000"/>
    <numFmt numFmtId="166" formatCode="0.0%"/>
    <numFmt numFmtId="167" formatCode="_(* #,##0_);_(* \(#,##0\);_(* &quot;-&quot;??_);_(@_)"/>
    <numFmt numFmtId="168" formatCode="_(&quot;$&quot;* #,##0_);_(&quot;$&quot;* \(#,##0\);_(&quot;$&quot;* &quot;-&quot;??_);_(@_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name val="Arial"/>
      <family val="2"/>
    </font>
    <font>
      <b/>
      <sz val="12"/>
      <name val="Arial"/>
      <family val="2"/>
    </font>
    <font>
      <sz val="12"/>
      <name val="New York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6"/>
      <name val="Arial"/>
      <family val="2"/>
    </font>
    <font>
      <b/>
      <sz val="10"/>
      <color theme="0"/>
      <name val="Arial"/>
      <family val="2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rgb="FF003366"/>
      </patternFill>
    </fill>
    <fill>
      <patternFill patternType="solid">
        <fgColor theme="5" tint="0.79998168889431442"/>
        <bgColor rgb="FFFFCC99"/>
      </patternFill>
    </fill>
    <fill>
      <patternFill patternType="solid">
        <fgColor theme="4" tint="0.79998168889431442"/>
        <bgColor rgb="FFCC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1">
    <xf numFmtId="0" fontId="0" fillId="0" borderId="0" xfId="0"/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6" fillId="0" borderId="0" xfId="0" applyFont="1"/>
    <xf numFmtId="9" fontId="7" fillId="0" borderId="0" xfId="0" applyNumberFormat="1" applyFont="1"/>
    <xf numFmtId="9" fontId="6" fillId="0" borderId="0" xfId="0" applyNumberFormat="1" applyFont="1"/>
    <xf numFmtId="0" fontId="0" fillId="0" borderId="1" xfId="0" applyBorder="1"/>
    <xf numFmtId="0" fontId="6" fillId="0" borderId="2" xfId="0" applyFont="1" applyBorder="1"/>
    <xf numFmtId="0" fontId="0" fillId="0" borderId="3" xfId="0" applyBorder="1"/>
    <xf numFmtId="0" fontId="6" fillId="2" borderId="4" xfId="2" applyNumberFormat="1" applyFont="1" applyFill="1" applyBorder="1"/>
    <xf numFmtId="0" fontId="6" fillId="2" borderId="5" xfId="0" applyFont="1" applyFill="1" applyBorder="1"/>
    <xf numFmtId="0" fontId="8" fillId="2" borderId="6" xfId="0" applyFont="1" applyFill="1" applyBorder="1"/>
    <xf numFmtId="164" fontId="9" fillId="0" borderId="6" xfId="0" applyNumberFormat="1" applyFont="1" applyBorder="1"/>
    <xf numFmtId="0" fontId="0" fillId="0" borderId="6" xfId="0" applyBorder="1"/>
    <xf numFmtId="0" fontId="0" fillId="2" borderId="7" xfId="0" applyFill="1" applyBorder="1"/>
    <xf numFmtId="165" fontId="9" fillId="0" borderId="7" xfId="0" applyNumberFormat="1" applyFont="1" applyBorder="1"/>
    <xf numFmtId="0" fontId="0" fillId="0" borderId="7" xfId="0" applyBorder="1"/>
    <xf numFmtId="164" fontId="9" fillId="0" borderId="7" xfId="0" applyNumberFormat="1" applyFont="1" applyBorder="1"/>
    <xf numFmtId="0" fontId="7" fillId="0" borderId="7" xfId="0" applyFont="1" applyBorder="1"/>
    <xf numFmtId="0" fontId="8" fillId="2" borderId="7" xfId="0" applyFont="1" applyFill="1" applyBorder="1"/>
    <xf numFmtId="0" fontId="6" fillId="0" borderId="0" xfId="0" applyFont="1" applyAlignment="1">
      <alignment horizontal="right"/>
    </xf>
    <xf numFmtId="0" fontId="7" fillId="0" borderId="0" xfId="0" applyFont="1"/>
    <xf numFmtId="0" fontId="8" fillId="2" borderId="0" xfId="0" applyFont="1" applyFill="1"/>
    <xf numFmtId="16" fontId="4" fillId="0" borderId="0" xfId="0" applyNumberFormat="1" applyFont="1" applyAlignment="1">
      <alignment horizontal="center"/>
    </xf>
    <xf numFmtId="0" fontId="6" fillId="0" borderId="0" xfId="0" applyFont="1" applyAlignment="1">
      <alignment wrapText="1"/>
    </xf>
    <xf numFmtId="15" fontId="0" fillId="0" borderId="0" xfId="0" applyNumberFormat="1"/>
    <xf numFmtId="164" fontId="9" fillId="2" borderId="0" xfId="0" applyNumberFormat="1" applyFont="1" applyFill="1"/>
    <xf numFmtId="0" fontId="7" fillId="2" borderId="0" xfId="0" applyFont="1" applyFill="1"/>
    <xf numFmtId="9" fontId="9" fillId="2" borderId="0" xfId="0" applyNumberFormat="1" applyFont="1" applyFill="1"/>
    <xf numFmtId="0" fontId="13" fillId="3" borderId="5" xfId="0" applyFont="1" applyFill="1" applyBorder="1"/>
    <xf numFmtId="0" fontId="9" fillId="0" borderId="7" xfId="0" applyFont="1" applyBorder="1"/>
    <xf numFmtId="0" fontId="8" fillId="0" borderId="7" xfId="0" applyFont="1" applyBorder="1"/>
    <xf numFmtId="164" fontId="10" fillId="0" borderId="7" xfId="0" applyNumberFormat="1" applyFont="1" applyBorder="1"/>
    <xf numFmtId="167" fontId="0" fillId="0" borderId="0" xfId="1" applyNumberFormat="1" applyFont="1"/>
    <xf numFmtId="168" fontId="0" fillId="0" borderId="0" xfId="2" applyNumberFormat="1" applyFont="1"/>
    <xf numFmtId="168" fontId="0" fillId="0" borderId="0" xfId="0" applyNumberFormat="1"/>
    <xf numFmtId="0" fontId="6" fillId="3" borderId="5" xfId="0" applyFont="1" applyFill="1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15" fillId="0" borderId="7" xfId="0" applyFont="1" applyBorder="1"/>
    <xf numFmtId="164" fontId="0" fillId="0" borderId="7" xfId="0" applyNumberFormat="1" applyBorder="1"/>
    <xf numFmtId="164" fontId="0" fillId="0" borderId="7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15" fillId="0" borderId="6" xfId="0" applyFont="1" applyBorder="1"/>
    <xf numFmtId="164" fontId="0" fillId="0" borderId="6" xfId="0" applyNumberFormat="1" applyBorder="1"/>
    <xf numFmtId="0" fontId="18" fillId="4" borderId="5" xfId="0" applyFont="1" applyFill="1" applyBorder="1"/>
    <xf numFmtId="0" fontId="14" fillId="4" borderId="5" xfId="0" applyFont="1" applyFill="1" applyBorder="1" applyAlignment="1">
      <alignment horizontal="center"/>
    </xf>
    <xf numFmtId="0" fontId="14" fillId="4" borderId="5" xfId="0" applyFont="1" applyFill="1" applyBorder="1"/>
    <xf numFmtId="0" fontId="4" fillId="5" borderId="7" xfId="0" applyFont="1" applyFill="1" applyBorder="1"/>
    <xf numFmtId="3" fontId="8" fillId="5" borderId="7" xfId="0" applyNumberFormat="1" applyFont="1" applyFill="1" applyBorder="1"/>
    <xf numFmtId="0" fontId="0" fillId="5" borderId="7" xfId="0" applyFill="1" applyBorder="1"/>
    <xf numFmtId="164" fontId="8" fillId="5" borderId="7" xfId="0" applyNumberFormat="1" applyFont="1" applyFill="1" applyBorder="1"/>
    <xf numFmtId="0" fontId="8" fillId="6" borderId="7" xfId="0" applyFont="1" applyFill="1" applyBorder="1"/>
    <xf numFmtId="3" fontId="8" fillId="6" borderId="7" xfId="0" applyNumberFormat="1" applyFont="1" applyFill="1" applyBorder="1"/>
    <xf numFmtId="0" fontId="7" fillId="6" borderId="7" xfId="0" applyFont="1" applyFill="1" applyBorder="1"/>
    <xf numFmtId="164" fontId="8" fillId="6" borderId="7" xfId="0" applyNumberFormat="1" applyFont="1" applyFill="1" applyBorder="1"/>
    <xf numFmtId="0" fontId="15" fillId="6" borderId="7" xfId="0" applyFont="1" applyFill="1" applyBorder="1"/>
    <xf numFmtId="0" fontId="15" fillId="6" borderId="7" xfId="0" applyFont="1" applyFill="1" applyBorder="1" applyAlignment="1">
      <alignment horizontal="center"/>
    </xf>
    <xf numFmtId="164" fontId="15" fillId="6" borderId="7" xfId="0" applyNumberFormat="1" applyFont="1" applyFill="1" applyBorder="1"/>
    <xf numFmtId="164" fontId="8" fillId="7" borderId="7" xfId="0" applyNumberFormat="1" applyFont="1" applyFill="1" applyBorder="1"/>
    <xf numFmtId="164" fontId="8" fillId="8" borderId="7" xfId="0" applyNumberFormat="1" applyFont="1" applyFill="1" applyBorder="1"/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wrapText="1"/>
    </xf>
    <xf numFmtId="0" fontId="12" fillId="0" borderId="0" xfId="0" applyFont="1" applyAlignment="1">
      <alignment horizontal="center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7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6" fontId="10" fillId="7" borderId="5" xfId="0" applyNumberFormat="1" applyFont="1" applyFill="1" applyBorder="1" applyAlignment="1">
      <alignment horizontal="left"/>
    </xf>
    <xf numFmtId="0" fontId="1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3" fontId="0" fillId="0" borderId="0" xfId="0" applyNumberFormat="1"/>
    <xf numFmtId="0" fontId="19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4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Payback – EcoPantry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Payback!$A$6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Payback!$A$7:$A$10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23-4BBF-8D93-391013B4079C}"/>
            </c:ext>
          </c:extLst>
        </c:ser>
        <c:ser>
          <c:idx val="1"/>
          <c:order val="1"/>
          <c:tx>
            <c:strRef>
              <c:f>Payback!$D$6</c:f>
              <c:strCache>
                <c:ptCount val="1"/>
                <c:pt idx="0">
                  <c:v>Cum Costs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Payback!$D$7:$D$10</c:f>
              <c:numCache>
                <c:formatCode>#,##0</c:formatCode>
                <c:ptCount val="4"/>
                <c:pt idx="0">
                  <c:v>18480</c:v>
                </c:pt>
                <c:pt idx="1">
                  <c:v>25887</c:v>
                </c:pt>
                <c:pt idx="2">
                  <c:v>33432</c:v>
                </c:pt>
                <c:pt idx="3">
                  <c:v>41116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23-4BBF-8D93-391013B4079C}"/>
            </c:ext>
          </c:extLst>
        </c:ser>
        <c:ser>
          <c:idx val="2"/>
          <c:order val="2"/>
          <c:tx>
            <c:strRef>
              <c:f>Payback!$E$6</c:f>
              <c:strCache>
                <c:ptCount val="1"/>
                <c:pt idx="0">
                  <c:v>Cum Benefits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Payback!$E$7:$E$10</c:f>
              <c:numCache>
                <c:formatCode>#,##0</c:formatCode>
                <c:ptCount val="4"/>
                <c:pt idx="0" formatCode="General">
                  <c:v>0</c:v>
                </c:pt>
                <c:pt idx="1">
                  <c:v>32407</c:v>
                </c:pt>
                <c:pt idx="2">
                  <c:v>80418</c:v>
                </c:pt>
                <c:pt idx="3">
                  <c:v>147100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23-4BBF-8D93-391013B4079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9650351"/>
        <c:axId val="1234010959"/>
      </c:lineChart>
      <c:catAx>
        <c:axId val="1219650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010959"/>
        <c:crosses val="autoZero"/>
        <c:auto val="1"/>
        <c:lblAlgn val="ctr"/>
        <c:lblOffset val="100"/>
        <c:noMultiLvlLbl val="0"/>
      </c:catAx>
      <c:valAx>
        <c:axId val="123401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65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16</xdr:row>
      <xdr:rowOff>91440</xdr:rowOff>
    </xdr:from>
    <xdr:to>
      <xdr:col>6</xdr:col>
      <xdr:colOff>274320</xdr:colOff>
      <xdr:row>16</xdr:row>
      <xdr:rowOff>91440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32042E6-6876-41C2-B85C-4A857ED91196}"/>
            </a:ext>
          </a:extLst>
        </xdr:cNvPr>
        <xdr:cNvSpPr>
          <a:spLocks noChangeShapeType="1"/>
        </xdr:cNvSpPr>
      </xdr:nvSpPr>
      <xdr:spPr bwMode="auto">
        <a:xfrm flipH="1">
          <a:off x="7018020" y="348234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289560</xdr:colOff>
      <xdr:row>18</xdr:row>
      <xdr:rowOff>38100</xdr:rowOff>
    </xdr:from>
    <xdr:to>
      <xdr:col>3</xdr:col>
      <xdr:colOff>289560</xdr:colOff>
      <xdr:row>20</xdr:row>
      <xdr:rowOff>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EEF1AB31-4E56-49D7-8039-E7FAEAE4764B}"/>
            </a:ext>
          </a:extLst>
        </xdr:cNvPr>
        <xdr:cNvSpPr>
          <a:spLocks noChangeShapeType="1"/>
        </xdr:cNvSpPr>
      </xdr:nvSpPr>
      <xdr:spPr bwMode="auto">
        <a:xfrm flipV="1">
          <a:off x="4328160" y="3779520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365760</xdr:colOff>
      <xdr:row>19</xdr:row>
      <xdr:rowOff>91440</xdr:rowOff>
    </xdr:from>
    <xdr:to>
      <xdr:col>0</xdr:col>
      <xdr:colOff>2438400</xdr:colOff>
      <xdr:row>19</xdr:row>
      <xdr:rowOff>91440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91E35AF0-DEB7-4ECB-AE3D-ECC542C0C0F8}"/>
            </a:ext>
          </a:extLst>
        </xdr:cNvPr>
        <xdr:cNvSpPr>
          <a:spLocks noChangeShapeType="1"/>
        </xdr:cNvSpPr>
      </xdr:nvSpPr>
      <xdr:spPr bwMode="auto">
        <a:xfrm>
          <a:off x="365760" y="4000500"/>
          <a:ext cx="2072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682625</xdr:colOff>
      <xdr:row>13</xdr:row>
      <xdr:rowOff>25400</xdr:rowOff>
    </xdr:from>
    <xdr:to>
      <xdr:col>3</xdr:col>
      <xdr:colOff>746125</xdr:colOff>
      <xdr:row>28</xdr:row>
      <xdr:rowOff>30163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F7A65A-71A6-68E4-216F-A9D86300E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Cost%20Estimate%20-%20SavePlate.xlsx" TargetMode="External"/><Relationship Id="rId1" Type="http://schemas.openxmlformats.org/officeDocument/2006/relationships/externalLinkPath" Target="file:///C:\Users\Dell\Downloads\Cost%20Estimate%20-%20SavePlat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SavePlate_Payback_Period_Chart.xlsx" TargetMode="External"/><Relationship Id="rId1" Type="http://schemas.openxmlformats.org/officeDocument/2006/relationships/externalLinkPath" Target="file:///C:\Users\Dell\Downloads\SavePlate_Payback_Period_Ch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t Estimate Summary"/>
      <sheetName val="Weekly Cost Breakdown"/>
    </sheetNames>
    <sheetDataSet>
      <sheetData sheetId="0">
        <row r="5">
          <cell r="B5">
            <v>20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7">
          <cell r="A7">
            <v>0</v>
          </cell>
          <cell r="D7">
            <v>18480</v>
          </cell>
          <cell r="E7">
            <v>0</v>
          </cell>
        </row>
        <row r="8">
          <cell r="A8">
            <v>1</v>
          </cell>
          <cell r="D8">
            <v>25887.407407407409</v>
          </cell>
          <cell r="E8">
            <v>32407.407407407401</v>
          </cell>
        </row>
        <row r="9">
          <cell r="A9">
            <v>2</v>
          </cell>
          <cell r="D9">
            <v>33431.9890260631</v>
          </cell>
          <cell r="E9">
            <v>80418.381344307301</v>
          </cell>
        </row>
        <row r="10">
          <cell r="A10">
            <v>3</v>
          </cell>
          <cell r="D10">
            <v>41116.285119138338</v>
          </cell>
          <cell r="E10">
            <v>147100.28959000151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639B1-3DD7-41B5-8ADE-B29CB10F8394}" name="Table1" displayName="Table1" ref="A6:E10" totalsRowShown="0">
  <autoFilter ref="A6:E10" xr:uid="{FC6639B1-3DD7-41B5-8ADE-B29CB10F8394}"/>
  <tableColumns count="5">
    <tableColumn id="1" xr3:uid="{9B77C32C-F3D8-443E-B0D0-0CD47E8ADF4F}" name="Year"/>
    <tableColumn id="2" xr3:uid="{65EE8341-11D6-43B2-9F5E-10560FABE0F0}" name="Costs" dataDxfId="3"/>
    <tableColumn id="3" xr3:uid="{2F5E6A88-02C6-4AB9-B314-B4CD1E127DEA}" name="Benefits" dataDxfId="2"/>
    <tableColumn id="4" xr3:uid="{95DE8CD5-69A7-436D-AE76-53ECF29EDD31}" name="Cum Costs" dataDxfId="1"/>
    <tableColumn id="5" xr3:uid="{020C4A80-1499-4E26-847F-1AD4554936DB}" name="Cum Benefit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7A0AF-FF90-4311-AFFA-9B544B749759}">
  <dimension ref="A1:G46"/>
  <sheetViews>
    <sheetView zoomScale="91" workbookViewId="0">
      <selection activeCell="G17" sqref="G17"/>
    </sheetView>
  </sheetViews>
  <sheetFormatPr defaultRowHeight="14.4"/>
  <cols>
    <col min="1" max="1" width="33.5546875" customWidth="1"/>
    <col min="2" max="2" width="10.5546875" customWidth="1"/>
    <col min="3" max="3" width="11.88671875" customWidth="1"/>
    <col min="4" max="4" width="12.88671875" customWidth="1"/>
    <col min="5" max="5" width="14.109375" customWidth="1"/>
    <col min="6" max="6" width="21" customWidth="1"/>
    <col min="7" max="7" width="14.33203125" customWidth="1"/>
  </cols>
  <sheetData>
    <row r="1" spans="1:7" ht="22.8">
      <c r="A1" s="71" t="s">
        <v>0</v>
      </c>
      <c r="B1" s="71"/>
      <c r="C1" s="71"/>
      <c r="D1" s="71"/>
      <c r="E1" s="71"/>
      <c r="F1" s="71"/>
      <c r="G1" s="71"/>
    </row>
    <row r="2" spans="1:7" ht="22.8">
      <c r="A2" s="1" t="s">
        <v>1</v>
      </c>
      <c r="B2" s="1"/>
      <c r="C2" s="1" t="s">
        <v>2</v>
      </c>
      <c r="D2" s="24">
        <v>46160</v>
      </c>
      <c r="E2" s="2"/>
      <c r="F2" s="2"/>
      <c r="G2" s="2"/>
    </row>
    <row r="3" spans="1:7" ht="15.6">
      <c r="A3" s="72"/>
      <c r="B3" s="72"/>
      <c r="C3" s="72"/>
      <c r="D3" s="72"/>
      <c r="E3" s="72"/>
      <c r="F3" s="72"/>
      <c r="G3" s="72"/>
    </row>
    <row r="4" spans="1:7">
      <c r="A4" s="3"/>
      <c r="B4" s="3"/>
      <c r="C4" s="3"/>
      <c r="D4" s="3"/>
      <c r="E4" s="3"/>
      <c r="F4" s="3"/>
      <c r="G4" s="3"/>
    </row>
    <row r="5" spans="1:7">
      <c r="A5" s="4" t="s">
        <v>3</v>
      </c>
      <c r="B5" s="5">
        <v>0.08</v>
      </c>
    </row>
    <row r="6" spans="1:7">
      <c r="A6" s="4" t="s">
        <v>4</v>
      </c>
      <c r="B6" s="6"/>
    </row>
    <row r="7" spans="1:7">
      <c r="A7" s="7"/>
      <c r="B7" s="73" t="s">
        <v>5</v>
      </c>
      <c r="C7" s="74"/>
      <c r="D7" s="74"/>
      <c r="E7" s="74"/>
      <c r="F7" s="8"/>
    </row>
    <row r="8" spans="1:7">
      <c r="A8" s="9"/>
      <c r="B8" s="10">
        <v>0</v>
      </c>
      <c r="C8" s="11">
        <v>1</v>
      </c>
      <c r="D8" s="11">
        <v>2</v>
      </c>
      <c r="E8" s="11">
        <v>3</v>
      </c>
      <c r="F8" s="11" t="s">
        <v>6</v>
      </c>
    </row>
    <row r="9" spans="1:7">
      <c r="A9" s="12" t="s">
        <v>7</v>
      </c>
      <c r="B9" s="13">
        <v>18480</v>
      </c>
      <c r="C9" s="13">
        <v>8000</v>
      </c>
      <c r="D9" s="13">
        <v>8800</v>
      </c>
      <c r="E9" s="13">
        <v>9680</v>
      </c>
      <c r="F9" s="14"/>
    </row>
    <row r="10" spans="1:7">
      <c r="A10" s="15" t="s">
        <v>8</v>
      </c>
      <c r="B10" s="16">
        <f>1/(1+$B$5)^0</f>
        <v>1</v>
      </c>
      <c r="C10" s="16">
        <f>1/(1+$B$5)^1</f>
        <v>0.92592592592592582</v>
      </c>
      <c r="D10" s="16">
        <f>1/(1+$B$5)^2</f>
        <v>0.85733882030178321</v>
      </c>
      <c r="E10" s="16">
        <f>1/(1+$B$5)^3</f>
        <v>0.79383224102016958</v>
      </c>
      <c r="F10" s="17"/>
    </row>
    <row r="11" spans="1:7">
      <c r="A11" s="15" t="s">
        <v>9</v>
      </c>
      <c r="B11" s="18">
        <f>B9*B10</f>
        <v>18480</v>
      </c>
      <c r="C11" s="18">
        <f>C9*C10</f>
        <v>7407.4074074074069</v>
      </c>
      <c r="D11" s="18">
        <f>D9*D10</f>
        <v>7544.5816186556922</v>
      </c>
      <c r="E11" s="18">
        <f>E9*E10</f>
        <v>7684.2960930752415</v>
      </c>
      <c r="F11" s="62">
        <f>SUM(B11:E11)</f>
        <v>41116.285119138338</v>
      </c>
    </row>
    <row r="12" spans="1:7">
      <c r="A12" s="15"/>
      <c r="B12" s="19"/>
      <c r="C12" s="19"/>
      <c r="D12" s="19"/>
      <c r="E12" s="19"/>
      <c r="F12" s="17"/>
    </row>
    <row r="13" spans="1:7">
      <c r="A13" s="20" t="s">
        <v>10</v>
      </c>
      <c r="B13" s="18">
        <v>0</v>
      </c>
      <c r="C13" s="18">
        <v>35000</v>
      </c>
      <c r="D13" s="18">
        <v>56000</v>
      </c>
      <c r="E13" s="18">
        <v>84000</v>
      </c>
      <c r="F13" s="17"/>
    </row>
    <row r="14" spans="1:7">
      <c r="A14" s="15" t="s">
        <v>8</v>
      </c>
      <c r="B14" s="16">
        <f>B10</f>
        <v>1</v>
      </c>
      <c r="C14" s="16">
        <f>C10</f>
        <v>0.92592592592592582</v>
      </c>
      <c r="D14" s="16">
        <f>D10</f>
        <v>0.85733882030178321</v>
      </c>
      <c r="E14" s="16">
        <f>E10</f>
        <v>0.79383224102016958</v>
      </c>
      <c r="F14" s="17"/>
    </row>
    <row r="15" spans="1:7">
      <c r="A15" s="15" t="s">
        <v>11</v>
      </c>
      <c r="B15" s="18">
        <f>B13*B14</f>
        <v>0</v>
      </c>
      <c r="C15" s="18">
        <f>C13*C14</f>
        <v>32407.407407407405</v>
      </c>
      <c r="D15" s="18">
        <f>D13*D14</f>
        <v>48010.973936899856</v>
      </c>
      <c r="E15" s="18">
        <f>E13*E14</f>
        <v>66681.908245694241</v>
      </c>
      <c r="F15" s="62">
        <f>SUM(B15:E15)</f>
        <v>147100.28959000151</v>
      </c>
    </row>
    <row r="16" spans="1:7">
      <c r="A16" s="15"/>
      <c r="B16" s="19"/>
      <c r="C16" s="19"/>
      <c r="D16" s="19"/>
      <c r="E16" s="19"/>
      <c r="F16" s="17"/>
    </row>
    <row r="17" spans="1:7">
      <c r="A17" s="20" t="s">
        <v>12</v>
      </c>
      <c r="B17" s="18">
        <f>B15-B11</f>
        <v>-18480</v>
      </c>
      <c r="C17" s="18">
        <f>C15-C11</f>
        <v>25000</v>
      </c>
      <c r="D17" s="18">
        <f>D15-D11</f>
        <v>40466.392318244165</v>
      </c>
      <c r="E17" s="18">
        <f>E15-E11</f>
        <v>58997.612152618996</v>
      </c>
      <c r="F17" s="61">
        <f>SUM(B17:E17)</f>
        <v>105984.00447086316</v>
      </c>
      <c r="G17" s="21" t="s">
        <v>13</v>
      </c>
    </row>
    <row r="18" spans="1:7">
      <c r="A18" s="20" t="s">
        <v>14</v>
      </c>
      <c r="B18" s="18">
        <f>B17</f>
        <v>-18480</v>
      </c>
      <c r="C18" s="18">
        <f>B18+C17</f>
        <v>6520</v>
      </c>
      <c r="D18" s="18">
        <f>C18+D17</f>
        <v>46986.392318244165</v>
      </c>
      <c r="E18" s="18">
        <f>D18+E17</f>
        <v>105984.00447086316</v>
      </c>
      <c r="F18" s="17"/>
    </row>
    <row r="19" spans="1:7">
      <c r="B19" s="22"/>
      <c r="C19" s="22"/>
      <c r="D19" s="22"/>
      <c r="E19" s="22"/>
    </row>
    <row r="20" spans="1:7">
      <c r="A20" s="23" t="s">
        <v>15</v>
      </c>
      <c r="B20" s="75">
        <f>F17/F11</f>
        <v>2.577664887860478</v>
      </c>
      <c r="C20" s="75"/>
      <c r="D20" s="75"/>
      <c r="E20" s="75"/>
      <c r="F20" s="75"/>
    </row>
    <row r="21" spans="1:7">
      <c r="B21" s="76" t="s">
        <v>16</v>
      </c>
      <c r="C21" s="76"/>
      <c r="D21" s="76"/>
      <c r="E21" s="76"/>
      <c r="F21" s="76"/>
    </row>
    <row r="24" spans="1:7">
      <c r="A24" s="4" t="s">
        <v>17</v>
      </c>
    </row>
    <row r="25" spans="1:7">
      <c r="A25" s="65" t="s">
        <v>18</v>
      </c>
      <c r="B25" s="65"/>
      <c r="C25" s="65"/>
      <c r="D25" s="65"/>
      <c r="E25" s="65"/>
      <c r="F25" s="65"/>
      <c r="G25" s="65"/>
    </row>
    <row r="26" spans="1:7">
      <c r="A26" s="65" t="s">
        <v>19</v>
      </c>
      <c r="B26" s="65"/>
      <c r="C26" s="65"/>
      <c r="D26" s="65"/>
      <c r="E26" s="65"/>
      <c r="F26" s="65"/>
      <c r="G26" s="65"/>
    </row>
    <row r="27" spans="1:7">
      <c r="A27" s="65" t="s">
        <v>20</v>
      </c>
      <c r="B27" s="65"/>
      <c r="C27" s="65"/>
      <c r="D27" s="65"/>
      <c r="E27" s="65"/>
      <c r="F27" s="65"/>
      <c r="G27" s="65"/>
    </row>
    <row r="28" spans="1:7">
      <c r="A28" s="65" t="s">
        <v>21</v>
      </c>
      <c r="B28" s="65"/>
      <c r="C28" s="65"/>
      <c r="D28" s="65"/>
      <c r="E28" s="65"/>
      <c r="F28" s="65"/>
      <c r="G28" s="65"/>
    </row>
    <row r="29" spans="1:7">
      <c r="A29" s="65" t="s">
        <v>22</v>
      </c>
      <c r="B29" s="65"/>
      <c r="C29" s="65"/>
      <c r="D29" s="65"/>
      <c r="E29" s="65"/>
      <c r="F29" s="65"/>
      <c r="G29" s="65"/>
    </row>
    <row r="30" spans="1:7">
      <c r="A30" s="65" t="s">
        <v>23</v>
      </c>
      <c r="B30" s="65"/>
      <c r="C30" s="65"/>
      <c r="D30" s="65"/>
      <c r="E30" s="65"/>
      <c r="F30" s="65"/>
      <c r="G30" s="65"/>
    </row>
    <row r="34" spans="1:3">
      <c r="A34" s="38" t="s">
        <v>58</v>
      </c>
    </row>
    <row r="35" spans="1:3">
      <c r="A35" t="s">
        <v>59</v>
      </c>
    </row>
    <row r="36" spans="1:3">
      <c r="A36" t="s">
        <v>60</v>
      </c>
    </row>
    <row r="37" spans="1:3">
      <c r="A37" t="s">
        <v>61</v>
      </c>
    </row>
    <row r="38" spans="1:3">
      <c r="A38" t="s">
        <v>62</v>
      </c>
    </row>
    <row r="39" spans="1:3">
      <c r="A39" s="77" t="s">
        <v>63</v>
      </c>
      <c r="B39" s="78"/>
      <c r="C39" s="78"/>
    </row>
    <row r="40" spans="1:3">
      <c r="A40" s="78"/>
      <c r="B40" s="78"/>
      <c r="C40" s="78"/>
    </row>
    <row r="41" spans="1:3">
      <c r="A41" s="77" t="s">
        <v>64</v>
      </c>
    </row>
    <row r="42" spans="1:3">
      <c r="A42" s="78"/>
    </row>
    <row r="43" spans="1:3">
      <c r="A43" t="s">
        <v>65</v>
      </c>
    </row>
    <row r="44" spans="1:3">
      <c r="A44" s="39" t="s">
        <v>66</v>
      </c>
    </row>
    <row r="45" spans="1:3">
      <c r="A45" s="39" t="s">
        <v>67</v>
      </c>
    </row>
    <row r="46" spans="1:3">
      <c r="A46" s="39"/>
    </row>
  </sheetData>
  <mergeCells count="13">
    <mergeCell ref="A41:A42"/>
    <mergeCell ref="A26:G26"/>
    <mergeCell ref="A27:G27"/>
    <mergeCell ref="A28:G28"/>
    <mergeCell ref="A29:G29"/>
    <mergeCell ref="A30:G30"/>
    <mergeCell ref="A39:C40"/>
    <mergeCell ref="A25:G25"/>
    <mergeCell ref="A1:G1"/>
    <mergeCell ref="A3:G3"/>
    <mergeCell ref="B7:E7"/>
    <mergeCell ref="B20:F20"/>
    <mergeCell ref="B21:F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70C6-2897-4EC3-9967-E5AB8FDA8749}">
  <dimension ref="A1:AD32"/>
  <sheetViews>
    <sheetView zoomScale="56" zoomScaleNormal="70" workbookViewId="0">
      <selection activeCell="M40" sqref="M40"/>
    </sheetView>
  </sheetViews>
  <sheetFormatPr defaultRowHeight="14.4"/>
  <cols>
    <col min="1" max="1" width="44.6640625" customWidth="1"/>
    <col min="2" max="2" width="11.6640625" customWidth="1"/>
    <col min="3" max="3" width="13" customWidth="1"/>
    <col min="4" max="4" width="26" customWidth="1"/>
    <col min="8" max="8" width="10.6640625" customWidth="1"/>
    <col min="9" max="9" width="13.88671875" customWidth="1"/>
    <col min="10" max="10" width="18.33203125" customWidth="1"/>
    <col min="14" max="14" width="55.77734375" customWidth="1"/>
    <col min="15" max="15" width="10.109375" customWidth="1"/>
    <col min="29" max="29" width="13.44140625" customWidth="1"/>
  </cols>
  <sheetData>
    <row r="1" spans="1:30" ht="21">
      <c r="A1" s="66" t="s">
        <v>24</v>
      </c>
      <c r="B1" s="66"/>
      <c r="C1" s="66"/>
      <c r="D1" s="66"/>
      <c r="E1" s="66"/>
      <c r="F1" s="66"/>
      <c r="G1" s="66"/>
      <c r="H1" s="66"/>
      <c r="I1" s="66"/>
      <c r="J1" s="66"/>
    </row>
    <row r="2" spans="1:30" ht="36" customHeight="1">
      <c r="A2" s="25" t="s">
        <v>25</v>
      </c>
      <c r="B2" s="4" t="s">
        <v>2</v>
      </c>
      <c r="C2" s="26">
        <v>46160</v>
      </c>
    </row>
    <row r="3" spans="1:30">
      <c r="A3" s="22"/>
      <c r="B3" s="4"/>
    </row>
    <row r="5" spans="1:30" ht="25.8">
      <c r="A5" s="23" t="s">
        <v>26</v>
      </c>
      <c r="B5" s="27">
        <v>20</v>
      </c>
      <c r="C5" s="28"/>
      <c r="D5" s="23" t="s">
        <v>27</v>
      </c>
      <c r="E5" s="29">
        <v>0.1</v>
      </c>
      <c r="F5" s="22"/>
      <c r="G5" s="22"/>
      <c r="H5" s="22"/>
      <c r="I5" s="22"/>
      <c r="J5" s="22"/>
      <c r="N5" s="63" t="s">
        <v>99</v>
      </c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</row>
    <row r="6" spans="1:30">
      <c r="B6" s="22"/>
      <c r="C6" s="22"/>
      <c r="D6" s="22"/>
      <c r="E6" s="22"/>
      <c r="F6" s="22"/>
      <c r="G6" s="22"/>
      <c r="H6" s="22"/>
      <c r="I6" s="22"/>
      <c r="J6" s="22"/>
    </row>
    <row r="7" spans="1:30">
      <c r="A7" s="37"/>
      <c r="B7" s="67" t="s">
        <v>28</v>
      </c>
      <c r="C7" s="69" t="s">
        <v>29</v>
      </c>
      <c r="D7" s="69" t="s">
        <v>30</v>
      </c>
      <c r="E7" s="67" t="s">
        <v>31</v>
      </c>
      <c r="F7" s="69" t="s">
        <v>29</v>
      </c>
      <c r="G7" s="67" t="s">
        <v>32</v>
      </c>
      <c r="H7" s="67" t="s">
        <v>33</v>
      </c>
      <c r="I7" s="69" t="s">
        <v>34</v>
      </c>
      <c r="J7" s="69" t="s">
        <v>35</v>
      </c>
      <c r="N7" s="47" t="s">
        <v>68</v>
      </c>
      <c r="O7" s="48" t="s">
        <v>69</v>
      </c>
      <c r="P7" s="48" t="s">
        <v>70</v>
      </c>
      <c r="Q7" s="48" t="s">
        <v>71</v>
      </c>
      <c r="R7" s="48" t="s">
        <v>72</v>
      </c>
      <c r="S7" s="48" t="s">
        <v>73</v>
      </c>
      <c r="T7" s="48" t="s">
        <v>74</v>
      </c>
      <c r="U7" s="48" t="s">
        <v>75</v>
      </c>
      <c r="V7" s="48" t="s">
        <v>76</v>
      </c>
      <c r="W7" s="48" t="s">
        <v>77</v>
      </c>
      <c r="X7" s="48" t="s">
        <v>78</v>
      </c>
      <c r="Y7" s="48" t="s">
        <v>79</v>
      </c>
      <c r="Z7" s="48" t="s">
        <v>80</v>
      </c>
      <c r="AA7" s="48" t="s">
        <v>81</v>
      </c>
      <c r="AB7" s="48" t="s">
        <v>82</v>
      </c>
      <c r="AC7" s="49" t="s">
        <v>83</v>
      </c>
      <c r="AD7" s="49" t="s">
        <v>84</v>
      </c>
    </row>
    <row r="8" spans="1:30">
      <c r="A8" s="30" t="s">
        <v>36</v>
      </c>
      <c r="B8" s="68"/>
      <c r="C8" s="70"/>
      <c r="D8" s="70"/>
      <c r="E8" s="68"/>
      <c r="F8" s="70"/>
      <c r="G8" s="68"/>
      <c r="H8" s="68"/>
      <c r="I8" s="70"/>
      <c r="J8" s="70"/>
      <c r="N8" s="14" t="s">
        <v>85</v>
      </c>
      <c r="O8" s="44">
        <v>25</v>
      </c>
      <c r="P8" s="44">
        <v>15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5">
        <f t="shared" ref="AC8:AC19" si="0">SUM(O8:AB8)</f>
        <v>40</v>
      </c>
      <c r="AD8" s="46">
        <f>AC8*'[1]Cost Estimate Summary'!$B$5</f>
        <v>800</v>
      </c>
    </row>
    <row r="9" spans="1:30">
      <c r="A9" s="15" t="s">
        <v>37</v>
      </c>
      <c r="B9" s="31">
        <v>40</v>
      </c>
      <c r="C9" s="18">
        <f>$B$5</f>
        <v>20</v>
      </c>
      <c r="D9" s="18">
        <f>B9*C9</f>
        <v>800</v>
      </c>
      <c r="E9" s="31">
        <v>0</v>
      </c>
      <c r="F9" s="31">
        <v>0</v>
      </c>
      <c r="G9" s="18">
        <f>E9*F9</f>
        <v>0</v>
      </c>
      <c r="H9" s="18">
        <f>D9+G9</f>
        <v>800</v>
      </c>
      <c r="I9" s="18">
        <v>0</v>
      </c>
      <c r="J9" s="18">
        <f>H9+I9</f>
        <v>800</v>
      </c>
      <c r="N9" s="17" t="s">
        <v>86</v>
      </c>
      <c r="O9" s="40"/>
      <c r="P9" s="40">
        <v>15</v>
      </c>
      <c r="Q9" s="40">
        <v>45</v>
      </c>
      <c r="R9" s="40">
        <v>30</v>
      </c>
      <c r="S9" s="40"/>
      <c r="T9" s="40"/>
      <c r="U9" s="40"/>
      <c r="V9" s="40"/>
      <c r="W9" s="40"/>
      <c r="X9" s="40"/>
      <c r="Y9" s="40"/>
      <c r="Z9" s="40"/>
      <c r="AA9" s="40"/>
      <c r="AB9" s="40"/>
      <c r="AC9" s="41">
        <f t="shared" si="0"/>
        <v>90</v>
      </c>
      <c r="AD9" s="42">
        <f>AC9*'[1]Cost Estimate Summary'!$B$5</f>
        <v>1800</v>
      </c>
    </row>
    <row r="10" spans="1:30">
      <c r="A10" s="15" t="s">
        <v>38</v>
      </c>
      <c r="B10" s="31">
        <v>90</v>
      </c>
      <c r="C10" s="18">
        <f>$B$5</f>
        <v>20</v>
      </c>
      <c r="D10" s="18">
        <f>B10*C10</f>
        <v>1800</v>
      </c>
      <c r="E10" s="31">
        <v>0</v>
      </c>
      <c r="F10" s="31">
        <v>0</v>
      </c>
      <c r="G10" s="18">
        <f>E10*F10</f>
        <v>0</v>
      </c>
      <c r="H10" s="18">
        <f>D10+G10</f>
        <v>1800</v>
      </c>
      <c r="I10" s="18">
        <v>0</v>
      </c>
      <c r="J10" s="18">
        <f>H10+I10</f>
        <v>1800</v>
      </c>
      <c r="N10" s="17" t="s">
        <v>87</v>
      </c>
      <c r="O10" s="40"/>
      <c r="P10" s="40"/>
      <c r="Q10" s="40"/>
      <c r="R10" s="40">
        <v>10</v>
      </c>
      <c r="S10" s="40">
        <v>30</v>
      </c>
      <c r="T10" s="40"/>
      <c r="U10" s="40"/>
      <c r="V10" s="40"/>
      <c r="W10" s="40"/>
      <c r="X10" s="40"/>
      <c r="Y10" s="40"/>
      <c r="Z10" s="40"/>
      <c r="AA10" s="40"/>
      <c r="AB10" s="40"/>
      <c r="AC10" s="41">
        <f t="shared" si="0"/>
        <v>40</v>
      </c>
      <c r="AD10" s="42">
        <f>AC10*'[1]Cost Estimate Summary'!$B$5</f>
        <v>800</v>
      </c>
    </row>
    <row r="11" spans="1:30">
      <c r="A11" s="20" t="s">
        <v>39</v>
      </c>
      <c r="B11" s="19"/>
      <c r="C11" s="19"/>
      <c r="D11" s="19"/>
      <c r="E11" s="19"/>
      <c r="F11" s="19"/>
      <c r="G11" s="19"/>
      <c r="H11" s="19"/>
      <c r="I11" s="19"/>
      <c r="J11" s="19"/>
      <c r="N11" s="17" t="s">
        <v>88</v>
      </c>
      <c r="O11" s="40"/>
      <c r="P11" s="40"/>
      <c r="Q11" s="40"/>
      <c r="R11" s="40"/>
      <c r="S11" s="40">
        <v>20</v>
      </c>
      <c r="T11" s="40">
        <v>30</v>
      </c>
      <c r="U11" s="40"/>
      <c r="V11" s="40"/>
      <c r="W11" s="40"/>
      <c r="X11" s="40"/>
      <c r="Y11" s="40"/>
      <c r="Z11" s="40"/>
      <c r="AA11" s="40"/>
      <c r="AB11" s="40"/>
      <c r="AC11" s="41">
        <f t="shared" si="0"/>
        <v>50</v>
      </c>
      <c r="AD11" s="42">
        <f>AC11*'[1]Cost Estimate Summary'!$B$5</f>
        <v>1000</v>
      </c>
    </row>
    <row r="12" spans="1:30">
      <c r="A12" s="15" t="s">
        <v>40</v>
      </c>
      <c r="B12" s="31">
        <v>40</v>
      </c>
      <c r="C12" s="18">
        <f t="shared" ref="C12:C21" si="1">$B$5</f>
        <v>20</v>
      </c>
      <c r="D12" s="18">
        <f t="shared" ref="D12:D21" si="2">B12*C12</f>
        <v>800</v>
      </c>
      <c r="E12" s="31">
        <v>0</v>
      </c>
      <c r="F12" s="31">
        <v>0</v>
      </c>
      <c r="G12" s="18">
        <f t="shared" ref="G12:G21" si="3">E12*F12</f>
        <v>0</v>
      </c>
      <c r="H12" s="18">
        <f t="shared" ref="H12:H21" si="4">D12+G12</f>
        <v>800</v>
      </c>
      <c r="I12" s="18">
        <v>0</v>
      </c>
      <c r="J12" s="18">
        <f t="shared" ref="J12:J21" si="5">H12+I12</f>
        <v>800</v>
      </c>
      <c r="N12" s="17" t="s">
        <v>89</v>
      </c>
      <c r="O12" s="40"/>
      <c r="P12" s="40"/>
      <c r="Q12" s="40"/>
      <c r="R12" s="40"/>
      <c r="S12" s="40"/>
      <c r="T12" s="40">
        <v>15</v>
      </c>
      <c r="U12" s="40">
        <v>25</v>
      </c>
      <c r="V12" s="40"/>
      <c r="W12" s="40"/>
      <c r="X12" s="40"/>
      <c r="Y12" s="40"/>
      <c r="Z12" s="40"/>
      <c r="AA12" s="40"/>
      <c r="AB12" s="40"/>
      <c r="AC12" s="41">
        <f t="shared" si="0"/>
        <v>40</v>
      </c>
      <c r="AD12" s="42">
        <f>AC12*'[1]Cost Estimate Summary'!$B$5</f>
        <v>800</v>
      </c>
    </row>
    <row r="13" spans="1:30">
      <c r="A13" s="15" t="s">
        <v>41</v>
      </c>
      <c r="B13" s="31">
        <v>50</v>
      </c>
      <c r="C13" s="18">
        <f t="shared" si="1"/>
        <v>20</v>
      </c>
      <c r="D13" s="18">
        <f t="shared" si="2"/>
        <v>1000</v>
      </c>
      <c r="E13" s="31">
        <v>0</v>
      </c>
      <c r="F13" s="31">
        <v>0</v>
      </c>
      <c r="G13" s="18">
        <f t="shared" si="3"/>
        <v>0</v>
      </c>
      <c r="H13" s="18">
        <f t="shared" si="4"/>
        <v>1000</v>
      </c>
      <c r="I13" s="18">
        <v>0</v>
      </c>
      <c r="J13" s="18">
        <f t="shared" si="5"/>
        <v>1000</v>
      </c>
      <c r="N13" s="17" t="s">
        <v>90</v>
      </c>
      <c r="O13" s="40"/>
      <c r="P13" s="40"/>
      <c r="Q13" s="40"/>
      <c r="R13" s="40"/>
      <c r="S13" s="40"/>
      <c r="T13" s="40">
        <v>10</v>
      </c>
      <c r="U13" s="40">
        <v>25</v>
      </c>
      <c r="V13" s="40">
        <v>40</v>
      </c>
      <c r="W13" s="40">
        <v>45</v>
      </c>
      <c r="X13" s="40"/>
      <c r="Y13" s="40"/>
      <c r="Z13" s="40"/>
      <c r="AA13" s="40"/>
      <c r="AB13" s="40"/>
      <c r="AC13" s="41">
        <f t="shared" si="0"/>
        <v>120</v>
      </c>
      <c r="AD13" s="42">
        <f>AC13*'[1]Cost Estimate Summary'!$B$5</f>
        <v>2400</v>
      </c>
    </row>
    <row r="14" spans="1:30">
      <c r="A14" s="15" t="s">
        <v>42</v>
      </c>
      <c r="B14" s="31">
        <v>40</v>
      </c>
      <c r="C14" s="18">
        <f t="shared" si="1"/>
        <v>20</v>
      </c>
      <c r="D14" s="18">
        <f t="shared" si="2"/>
        <v>800</v>
      </c>
      <c r="E14" s="31">
        <v>0</v>
      </c>
      <c r="F14" s="31">
        <v>0</v>
      </c>
      <c r="G14" s="18">
        <f t="shared" si="3"/>
        <v>0</v>
      </c>
      <c r="H14" s="18">
        <f t="shared" si="4"/>
        <v>800</v>
      </c>
      <c r="I14" s="18">
        <v>0</v>
      </c>
      <c r="J14" s="18">
        <f t="shared" si="5"/>
        <v>800</v>
      </c>
      <c r="N14" s="17" t="s">
        <v>91</v>
      </c>
      <c r="O14" s="40"/>
      <c r="P14" s="40"/>
      <c r="Q14" s="40"/>
      <c r="R14" s="40"/>
      <c r="S14" s="40"/>
      <c r="T14" s="40">
        <v>15</v>
      </c>
      <c r="U14" s="40">
        <v>30</v>
      </c>
      <c r="V14" s="40">
        <v>45</v>
      </c>
      <c r="W14" s="40">
        <v>40</v>
      </c>
      <c r="X14" s="40"/>
      <c r="Y14" s="40"/>
      <c r="Z14" s="40"/>
      <c r="AA14" s="40"/>
      <c r="AB14" s="40"/>
      <c r="AC14" s="41">
        <f t="shared" si="0"/>
        <v>130</v>
      </c>
      <c r="AD14" s="42">
        <f>AC14*'[1]Cost Estimate Summary'!$B$5</f>
        <v>2600</v>
      </c>
    </row>
    <row r="15" spans="1:30">
      <c r="A15" s="15" t="s">
        <v>43</v>
      </c>
      <c r="B15" s="31">
        <v>120</v>
      </c>
      <c r="C15" s="18">
        <f t="shared" si="1"/>
        <v>20</v>
      </c>
      <c r="D15" s="18">
        <f t="shared" si="2"/>
        <v>2400</v>
      </c>
      <c r="E15" s="31">
        <v>0</v>
      </c>
      <c r="F15" s="31">
        <v>0</v>
      </c>
      <c r="G15" s="18">
        <f t="shared" si="3"/>
        <v>0</v>
      </c>
      <c r="H15" s="18">
        <f t="shared" si="4"/>
        <v>2400</v>
      </c>
      <c r="I15" s="18">
        <v>400</v>
      </c>
      <c r="J15" s="18">
        <f t="shared" si="5"/>
        <v>2800</v>
      </c>
      <c r="N15" s="17" t="s">
        <v>92</v>
      </c>
      <c r="O15" s="40"/>
      <c r="P15" s="40"/>
      <c r="Q15" s="40"/>
      <c r="R15" s="40"/>
      <c r="S15" s="40"/>
      <c r="T15" s="40"/>
      <c r="U15" s="40"/>
      <c r="V15" s="40"/>
      <c r="W15" s="40">
        <v>15</v>
      </c>
      <c r="X15" s="40">
        <v>25</v>
      </c>
      <c r="Y15" s="40"/>
      <c r="Z15" s="40"/>
      <c r="AA15" s="40"/>
      <c r="AB15" s="40"/>
      <c r="AC15" s="41">
        <f t="shared" si="0"/>
        <v>40</v>
      </c>
      <c r="AD15" s="42">
        <f>AC15*'[1]Cost Estimate Summary'!$B$5</f>
        <v>800</v>
      </c>
    </row>
    <row r="16" spans="1:30">
      <c r="A16" s="15" t="s">
        <v>44</v>
      </c>
      <c r="B16" s="31">
        <v>130</v>
      </c>
      <c r="C16" s="18">
        <f t="shared" si="1"/>
        <v>20</v>
      </c>
      <c r="D16" s="18">
        <f t="shared" si="2"/>
        <v>2600</v>
      </c>
      <c r="E16" s="31">
        <v>0</v>
      </c>
      <c r="F16" s="31">
        <v>0</v>
      </c>
      <c r="G16" s="18">
        <f t="shared" si="3"/>
        <v>0</v>
      </c>
      <c r="H16" s="18">
        <f t="shared" si="4"/>
        <v>2600</v>
      </c>
      <c r="I16" s="18">
        <v>0</v>
      </c>
      <c r="J16" s="18">
        <f t="shared" si="5"/>
        <v>2600</v>
      </c>
      <c r="N16" s="17" t="s">
        <v>93</v>
      </c>
      <c r="O16" s="40"/>
      <c r="P16" s="40"/>
      <c r="Q16" s="40"/>
      <c r="R16" s="40"/>
      <c r="S16" s="40"/>
      <c r="T16" s="40"/>
      <c r="U16" s="40"/>
      <c r="V16" s="40"/>
      <c r="W16" s="40"/>
      <c r="X16" s="40">
        <v>25</v>
      </c>
      <c r="Y16" s="40">
        <v>35</v>
      </c>
      <c r="Z16" s="40"/>
      <c r="AA16" s="40"/>
      <c r="AB16" s="40"/>
      <c r="AC16" s="41">
        <f t="shared" si="0"/>
        <v>60</v>
      </c>
      <c r="AD16" s="42">
        <f>AC16*'[1]Cost Estimate Summary'!$B$5</f>
        <v>1200</v>
      </c>
    </row>
    <row r="17" spans="1:30">
      <c r="A17" s="15" t="s">
        <v>45</v>
      </c>
      <c r="B17" s="31">
        <v>40</v>
      </c>
      <c r="C17" s="18">
        <f t="shared" si="1"/>
        <v>20</v>
      </c>
      <c r="D17" s="18">
        <f t="shared" si="2"/>
        <v>800</v>
      </c>
      <c r="E17" s="31">
        <v>0</v>
      </c>
      <c r="F17" s="31">
        <v>0</v>
      </c>
      <c r="G17" s="18">
        <f t="shared" si="3"/>
        <v>0</v>
      </c>
      <c r="H17" s="18">
        <f t="shared" si="4"/>
        <v>800</v>
      </c>
      <c r="I17" s="18">
        <v>800</v>
      </c>
      <c r="J17" s="18">
        <f t="shared" si="5"/>
        <v>1600</v>
      </c>
      <c r="N17" s="17" t="s">
        <v>94</v>
      </c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>
        <v>20</v>
      </c>
      <c r="AA17" s="40"/>
      <c r="AB17" s="40"/>
      <c r="AC17" s="41">
        <f t="shared" si="0"/>
        <v>20</v>
      </c>
      <c r="AD17" s="42">
        <f>AC17*'[1]Cost Estimate Summary'!$B$5</f>
        <v>400</v>
      </c>
    </row>
    <row r="18" spans="1:30">
      <c r="A18" s="15" t="s">
        <v>46</v>
      </c>
      <c r="B18" s="31">
        <v>60</v>
      </c>
      <c r="C18" s="18">
        <f t="shared" si="1"/>
        <v>20</v>
      </c>
      <c r="D18" s="18">
        <f t="shared" si="2"/>
        <v>1200</v>
      </c>
      <c r="E18" s="31">
        <v>0</v>
      </c>
      <c r="F18" s="31">
        <v>0</v>
      </c>
      <c r="G18" s="18">
        <f t="shared" si="3"/>
        <v>0</v>
      </c>
      <c r="H18" s="18">
        <f t="shared" si="4"/>
        <v>1200</v>
      </c>
      <c r="I18" s="18">
        <v>0</v>
      </c>
      <c r="J18" s="18">
        <f t="shared" si="5"/>
        <v>1200</v>
      </c>
      <c r="N18" s="17" t="s">
        <v>95</v>
      </c>
      <c r="O18" s="40">
        <v>5</v>
      </c>
      <c r="P18" s="40">
        <v>5</v>
      </c>
      <c r="Q18" s="40">
        <v>5</v>
      </c>
      <c r="R18" s="40">
        <v>5</v>
      </c>
      <c r="S18" s="40">
        <v>5</v>
      </c>
      <c r="T18" s="40">
        <v>5</v>
      </c>
      <c r="U18" s="40">
        <v>5</v>
      </c>
      <c r="V18" s="40">
        <v>5</v>
      </c>
      <c r="W18" s="40">
        <v>5</v>
      </c>
      <c r="X18" s="40">
        <v>5</v>
      </c>
      <c r="Y18" s="40">
        <v>5</v>
      </c>
      <c r="Z18" s="40">
        <v>5</v>
      </c>
      <c r="AA18" s="40">
        <v>5</v>
      </c>
      <c r="AB18" s="40">
        <v>5</v>
      </c>
      <c r="AC18" s="41">
        <f t="shared" si="0"/>
        <v>70</v>
      </c>
      <c r="AD18" s="42">
        <f>AC18*'[1]Cost Estimate Summary'!$B$5</f>
        <v>1400</v>
      </c>
    </row>
    <row r="19" spans="1:30">
      <c r="A19" s="15" t="s">
        <v>47</v>
      </c>
      <c r="B19" s="31">
        <v>20</v>
      </c>
      <c r="C19" s="18">
        <f t="shared" si="1"/>
        <v>20</v>
      </c>
      <c r="D19" s="18">
        <f t="shared" si="2"/>
        <v>400</v>
      </c>
      <c r="E19" s="31">
        <v>0</v>
      </c>
      <c r="F19" s="31">
        <v>0</v>
      </c>
      <c r="G19" s="18">
        <f t="shared" si="3"/>
        <v>0</v>
      </c>
      <c r="H19" s="18">
        <f t="shared" si="4"/>
        <v>400</v>
      </c>
      <c r="I19" s="18">
        <v>600</v>
      </c>
      <c r="J19" s="18">
        <f t="shared" si="5"/>
        <v>1000</v>
      </c>
      <c r="N19" s="17" t="s">
        <v>96</v>
      </c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>
        <v>20</v>
      </c>
      <c r="AB19" s="40">
        <v>20</v>
      </c>
      <c r="AC19" s="41">
        <f t="shared" si="0"/>
        <v>40</v>
      </c>
      <c r="AD19" s="42">
        <f>AC19*'[1]Cost Estimate Summary'!$B$5</f>
        <v>800</v>
      </c>
    </row>
    <row r="20" spans="1:30">
      <c r="A20" s="15" t="s">
        <v>48</v>
      </c>
      <c r="B20" s="31">
        <v>70</v>
      </c>
      <c r="C20" s="18">
        <f t="shared" si="1"/>
        <v>20</v>
      </c>
      <c r="D20" s="18">
        <f t="shared" si="2"/>
        <v>1400</v>
      </c>
      <c r="E20" s="31">
        <v>0</v>
      </c>
      <c r="F20" s="31">
        <v>0</v>
      </c>
      <c r="G20" s="18">
        <f t="shared" si="3"/>
        <v>0</v>
      </c>
      <c r="H20" s="18">
        <f t="shared" si="4"/>
        <v>1400</v>
      </c>
      <c r="I20" s="18">
        <v>0</v>
      </c>
      <c r="J20" s="18">
        <f t="shared" si="5"/>
        <v>1400</v>
      </c>
      <c r="N20" s="58" t="s">
        <v>97</v>
      </c>
      <c r="O20" s="59">
        <f t="shared" ref="O20:AD20" si="6">SUM(O8:O19)</f>
        <v>30</v>
      </c>
      <c r="P20" s="59">
        <f t="shared" si="6"/>
        <v>35</v>
      </c>
      <c r="Q20" s="59">
        <f t="shared" si="6"/>
        <v>50</v>
      </c>
      <c r="R20" s="59">
        <f t="shared" si="6"/>
        <v>45</v>
      </c>
      <c r="S20" s="59">
        <f t="shared" si="6"/>
        <v>55</v>
      </c>
      <c r="T20" s="59">
        <f t="shared" si="6"/>
        <v>75</v>
      </c>
      <c r="U20" s="59">
        <f t="shared" si="6"/>
        <v>85</v>
      </c>
      <c r="V20" s="59">
        <f t="shared" si="6"/>
        <v>90</v>
      </c>
      <c r="W20" s="59">
        <f t="shared" si="6"/>
        <v>105</v>
      </c>
      <c r="X20" s="59">
        <f t="shared" si="6"/>
        <v>55</v>
      </c>
      <c r="Y20" s="59">
        <f t="shared" si="6"/>
        <v>40</v>
      </c>
      <c r="Z20" s="59">
        <f t="shared" si="6"/>
        <v>25</v>
      </c>
      <c r="AA20" s="59">
        <f t="shared" si="6"/>
        <v>25</v>
      </c>
      <c r="AB20" s="59">
        <f t="shared" si="6"/>
        <v>25</v>
      </c>
      <c r="AC20" s="58">
        <f t="shared" si="6"/>
        <v>740</v>
      </c>
      <c r="AD20" s="60">
        <f t="shared" si="6"/>
        <v>14800</v>
      </c>
    </row>
    <row r="21" spans="1:30">
      <c r="A21" s="15" t="s">
        <v>49</v>
      </c>
      <c r="B21" s="31">
        <v>40</v>
      </c>
      <c r="C21" s="18">
        <f t="shared" si="1"/>
        <v>20</v>
      </c>
      <c r="D21" s="18">
        <f t="shared" si="2"/>
        <v>800</v>
      </c>
      <c r="E21" s="31">
        <v>0</v>
      </c>
      <c r="F21" s="31">
        <v>0</v>
      </c>
      <c r="G21" s="18">
        <f t="shared" si="3"/>
        <v>0</v>
      </c>
      <c r="H21" s="18">
        <f t="shared" si="4"/>
        <v>800</v>
      </c>
      <c r="I21" s="18">
        <v>200</v>
      </c>
      <c r="J21" s="18">
        <f t="shared" si="5"/>
        <v>1000</v>
      </c>
      <c r="N21" s="41" t="s">
        <v>98</v>
      </c>
      <c r="O21" s="43">
        <f>O20*'[1]Cost Estimate Summary'!$B$5</f>
        <v>600</v>
      </c>
      <c r="P21" s="43">
        <f>P20*'[1]Cost Estimate Summary'!$B$5</f>
        <v>700</v>
      </c>
      <c r="Q21" s="43">
        <f>Q20*'[1]Cost Estimate Summary'!$B$5</f>
        <v>1000</v>
      </c>
      <c r="R21" s="43">
        <f>R20*'[1]Cost Estimate Summary'!$B$5</f>
        <v>900</v>
      </c>
      <c r="S21" s="43">
        <f>S20*'[1]Cost Estimate Summary'!$B$5</f>
        <v>1100</v>
      </c>
      <c r="T21" s="43">
        <f>T20*'[1]Cost Estimate Summary'!$B$5</f>
        <v>1500</v>
      </c>
      <c r="U21" s="43">
        <f>U20*'[1]Cost Estimate Summary'!$B$5</f>
        <v>1700</v>
      </c>
      <c r="V21" s="43">
        <f>V20*'[1]Cost Estimate Summary'!$B$5</f>
        <v>1800</v>
      </c>
      <c r="W21" s="43">
        <f>W20*'[1]Cost Estimate Summary'!$B$5</f>
        <v>2100</v>
      </c>
      <c r="X21" s="43">
        <f>X20*'[1]Cost Estimate Summary'!$B$5</f>
        <v>1100</v>
      </c>
      <c r="Y21" s="43">
        <f>Y20*'[1]Cost Estimate Summary'!$B$5</f>
        <v>800</v>
      </c>
      <c r="Z21" s="43">
        <f>Z20*'[1]Cost Estimate Summary'!$B$5</f>
        <v>500</v>
      </c>
      <c r="AA21" s="43">
        <f>AA20*'[1]Cost Estimate Summary'!$B$5</f>
        <v>500</v>
      </c>
      <c r="AB21" s="43">
        <f>AB20*'[1]Cost Estimate Summary'!$B$5</f>
        <v>500</v>
      </c>
      <c r="AC21" s="17"/>
      <c r="AD21" s="17"/>
    </row>
    <row r="22" spans="1:30">
      <c r="A22" s="54" t="s">
        <v>50</v>
      </c>
      <c r="B22" s="55">
        <f>SUM(B9:B21)</f>
        <v>740</v>
      </c>
      <c r="C22" s="56"/>
      <c r="D22" s="57">
        <f>SUM(D9:D21)</f>
        <v>14800</v>
      </c>
      <c r="E22" s="55">
        <f>SUM(E9:E21)</f>
        <v>0</v>
      </c>
      <c r="F22" s="56"/>
      <c r="G22" s="57">
        <f>SUM(G9:G21)</f>
        <v>0</v>
      </c>
      <c r="H22" s="57">
        <f>SUM(H9:H21)</f>
        <v>14800</v>
      </c>
      <c r="I22" s="57">
        <f>SUM(I9:I21)</f>
        <v>2000</v>
      </c>
      <c r="J22" s="57">
        <f>SUM(J9:J21)</f>
        <v>16800</v>
      </c>
    </row>
    <row r="23" spans="1:30">
      <c r="A23" s="32" t="s">
        <v>51</v>
      </c>
      <c r="B23" s="17"/>
      <c r="C23" s="17"/>
      <c r="D23" s="17"/>
      <c r="E23" s="17"/>
      <c r="F23" s="17"/>
      <c r="G23" s="17"/>
      <c r="H23" s="17"/>
      <c r="I23" s="17"/>
      <c r="J23" s="33">
        <f>J22*$E$5</f>
        <v>1680</v>
      </c>
    </row>
    <row r="24" spans="1:30" ht="15.6">
      <c r="A24" s="50" t="s">
        <v>6</v>
      </c>
      <c r="B24" s="51">
        <f>B22</f>
        <v>740</v>
      </c>
      <c r="C24" s="52"/>
      <c r="D24" s="53">
        <f>D22</f>
        <v>14800</v>
      </c>
      <c r="E24" s="51">
        <f>E22</f>
        <v>0</v>
      </c>
      <c r="F24" s="52"/>
      <c r="G24" s="53">
        <f>G22</f>
        <v>0</v>
      </c>
      <c r="H24" s="53">
        <f>H22</f>
        <v>14800</v>
      </c>
      <c r="I24" s="53">
        <f>I22</f>
        <v>2000</v>
      </c>
      <c r="J24" s="53">
        <f>J22+J23</f>
        <v>18480</v>
      </c>
    </row>
    <row r="25" spans="1:30">
      <c r="B25" s="34"/>
      <c r="C25" s="35"/>
      <c r="D25" s="35"/>
      <c r="E25" s="35"/>
      <c r="F25" s="35"/>
      <c r="G25" s="35"/>
      <c r="H25" s="35"/>
      <c r="J25" s="36"/>
    </row>
    <row r="26" spans="1:30">
      <c r="A26" s="4" t="s">
        <v>17</v>
      </c>
      <c r="B26" s="34"/>
      <c r="C26" s="35"/>
      <c r="D26" s="35"/>
      <c r="E26" s="35"/>
      <c r="F26" s="35"/>
      <c r="G26" s="35"/>
      <c r="H26" s="35"/>
      <c r="J26" s="36"/>
    </row>
    <row r="27" spans="1:30">
      <c r="A27" s="65" t="s">
        <v>52</v>
      </c>
      <c r="B27" s="65"/>
      <c r="C27" s="65"/>
      <c r="D27" s="65"/>
      <c r="E27" s="65"/>
      <c r="F27" s="65"/>
      <c r="G27" s="65"/>
      <c r="H27" s="65"/>
      <c r="I27" s="65"/>
      <c r="J27" s="65"/>
    </row>
    <row r="28" spans="1:30">
      <c r="A28" s="65" t="s">
        <v>53</v>
      </c>
      <c r="B28" s="65"/>
      <c r="C28" s="65"/>
      <c r="D28" s="65"/>
      <c r="E28" s="65"/>
      <c r="F28" s="65"/>
      <c r="G28" s="65"/>
      <c r="H28" s="65"/>
      <c r="I28" s="65"/>
      <c r="J28" s="65"/>
    </row>
    <row r="29" spans="1:30">
      <c r="A29" s="65" t="s">
        <v>54</v>
      </c>
      <c r="B29" s="65"/>
      <c r="C29" s="65"/>
      <c r="D29" s="65"/>
      <c r="E29" s="65"/>
      <c r="F29" s="65"/>
      <c r="G29" s="65"/>
      <c r="H29" s="65"/>
      <c r="I29" s="65"/>
      <c r="J29" s="65"/>
    </row>
    <row r="30" spans="1:30">
      <c r="A30" s="65" t="s">
        <v>55</v>
      </c>
      <c r="B30" s="65"/>
      <c r="C30" s="65"/>
      <c r="D30" s="65"/>
      <c r="E30" s="65"/>
      <c r="F30" s="65"/>
      <c r="G30" s="65"/>
      <c r="H30" s="65"/>
      <c r="I30" s="65"/>
      <c r="J30" s="65"/>
    </row>
    <row r="31" spans="1:30">
      <c r="A31" s="65" t="s">
        <v>56</v>
      </c>
      <c r="B31" s="65"/>
      <c r="C31" s="65"/>
      <c r="D31" s="65"/>
      <c r="E31" s="65"/>
      <c r="F31" s="65"/>
      <c r="G31" s="65"/>
      <c r="H31" s="65"/>
      <c r="I31" s="65"/>
      <c r="J31" s="65"/>
    </row>
    <row r="32" spans="1:30">
      <c r="A32" s="65" t="s">
        <v>57</v>
      </c>
      <c r="B32" s="65"/>
      <c r="C32" s="65"/>
      <c r="D32" s="65"/>
      <c r="E32" s="65"/>
      <c r="F32" s="65"/>
      <c r="G32" s="65"/>
      <c r="H32" s="65"/>
      <c r="I32" s="65"/>
      <c r="J32" s="65"/>
    </row>
  </sheetData>
  <mergeCells count="17">
    <mergeCell ref="A31:J31"/>
    <mergeCell ref="N5:AD5"/>
    <mergeCell ref="A32:J32"/>
    <mergeCell ref="A1:J1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A27:J27"/>
    <mergeCell ref="A28:J28"/>
    <mergeCell ref="A29:J29"/>
    <mergeCell ref="A30:J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C304E-A24C-4A26-826C-BBF7BE271E95}">
  <dimension ref="A1:E10"/>
  <sheetViews>
    <sheetView tabSelected="1" zoomScale="82" zoomScaleNormal="96" workbookViewId="0">
      <selection activeCell="N15" sqref="N15"/>
    </sheetView>
  </sheetViews>
  <sheetFormatPr defaultRowHeight="14.4"/>
  <cols>
    <col min="1" max="1" width="24.109375" customWidth="1"/>
    <col min="2" max="2" width="15.5546875" customWidth="1"/>
    <col min="3" max="3" width="26.109375" customWidth="1"/>
    <col min="4" max="4" width="11.77734375" customWidth="1"/>
    <col min="5" max="5" width="15.109375" customWidth="1"/>
  </cols>
  <sheetData>
    <row r="1" spans="1:5" ht="23.4">
      <c r="A1" s="80" t="s">
        <v>107</v>
      </c>
      <c r="B1" s="78"/>
      <c r="C1" s="78"/>
      <c r="D1" s="78"/>
      <c r="E1" s="78"/>
    </row>
    <row r="2" spans="1:5">
      <c r="A2" t="s">
        <v>106</v>
      </c>
      <c r="D2" t="s">
        <v>2</v>
      </c>
      <c r="E2" s="26">
        <v>46160</v>
      </c>
    </row>
    <row r="3" spans="1:5">
      <c r="A3" t="s">
        <v>100</v>
      </c>
    </row>
    <row r="4" spans="1:5">
      <c r="A4" t="s">
        <v>101</v>
      </c>
    </row>
    <row r="6" spans="1:5">
      <c r="A6" t="s">
        <v>5</v>
      </c>
      <c r="B6" t="s">
        <v>102</v>
      </c>
      <c r="C6" t="s">
        <v>103</v>
      </c>
      <c r="D6" t="s">
        <v>104</v>
      </c>
      <c r="E6" t="s">
        <v>105</v>
      </c>
    </row>
    <row r="7" spans="1:5">
      <c r="A7">
        <v>0</v>
      </c>
      <c r="B7" s="79">
        <v>18480</v>
      </c>
      <c r="C7">
        <v>0</v>
      </c>
      <c r="D7" s="79">
        <v>18480</v>
      </c>
      <c r="E7">
        <v>0</v>
      </c>
    </row>
    <row r="8" spans="1:5">
      <c r="A8">
        <v>1</v>
      </c>
      <c r="B8" s="79">
        <v>7407</v>
      </c>
      <c r="C8" s="79">
        <v>32407</v>
      </c>
      <c r="D8" s="79">
        <v>25887</v>
      </c>
      <c r="E8" s="79">
        <v>32407</v>
      </c>
    </row>
    <row r="9" spans="1:5">
      <c r="A9">
        <v>2</v>
      </c>
      <c r="B9" s="79">
        <v>7545</v>
      </c>
      <c r="C9" s="79">
        <v>48011</v>
      </c>
      <c r="D9" s="79">
        <v>33432</v>
      </c>
      <c r="E9" s="79">
        <v>80418</v>
      </c>
    </row>
    <row r="10" spans="1:5">
      <c r="A10">
        <v>3</v>
      </c>
      <c r="B10" s="79">
        <v>7684</v>
      </c>
      <c r="C10" s="79">
        <v>66682</v>
      </c>
      <c r="D10" s="79">
        <v>41116</v>
      </c>
      <c r="E10" s="79">
        <v>147100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Analysis</vt:lpstr>
      <vt:lpstr>Cost Estimate</vt:lpstr>
      <vt:lpstr>Payback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Mijala Bajracharya</dc:creator>
  <cp:lastModifiedBy>Mijala Bajracharya</cp:lastModifiedBy>
  <dcterms:created xsi:type="dcterms:W3CDTF">2026-07-09T17:17:35Z</dcterms:created>
  <dcterms:modified xsi:type="dcterms:W3CDTF">2026-07-10T05:25:17Z</dcterms:modified>
</cp:coreProperties>
</file>